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lkulator Kos Makan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M #,##0.00"/>
  </numFmts>
  <fonts count="11">
    <font>
      <name val="Calibri"/>
      <family val="2"/>
      <color theme="1"/>
      <sz val="11"/>
      <scheme val="minor"/>
    </font>
    <font>
      <name val="Segoe UI"/>
      <b val="1"/>
      <color rgb="000F5A47"/>
      <sz val="18"/>
    </font>
    <font>
      <name val="Segoe UI"/>
      <i val="1"/>
      <color rgb="00555555"/>
      <sz val="11"/>
    </font>
    <font>
      <name val="Segoe UI"/>
      <b val="1"/>
      <color rgb="00333333"/>
      <sz val="10"/>
    </font>
    <font>
      <name val="Segoe UI"/>
      <b val="1"/>
      <color rgb="000F5A47"/>
      <sz val="12"/>
    </font>
    <font>
      <name val="Segoe UI"/>
      <b val="1"/>
      <color rgb="00FFFFFF"/>
      <sz val="10"/>
    </font>
    <font>
      <name val="Segoe UI"/>
      <color rgb="00333333"/>
      <sz val="10"/>
    </font>
    <font>
      <name val="Segoe UI"/>
      <b val="1"/>
      <color rgb="000F5A47"/>
      <sz val="10"/>
    </font>
    <font>
      <name val="Segoe UI"/>
      <b val="1"/>
      <color rgb="000F5A47"/>
      <sz val="11"/>
    </font>
    <font>
      <name val="Segoe UI"/>
      <i val="1"/>
      <color rgb="00666666"/>
      <sz val="9"/>
    </font>
    <font>
      <name val="Segoe UI"/>
      <b val="1"/>
      <color rgb="00D32F2F"/>
      <sz val="12"/>
    </font>
  </fonts>
  <fills count="6">
    <fill>
      <patternFill/>
    </fill>
    <fill>
      <patternFill patternType="gray125"/>
    </fill>
    <fill>
      <patternFill patternType="solid">
        <fgColor rgb="000F5A47"/>
        <bgColor rgb="000F5A47"/>
      </patternFill>
    </fill>
    <fill>
      <patternFill patternType="solid">
        <fgColor rgb="00F4F9F6"/>
        <bgColor rgb="00F4F9F6"/>
      </patternFill>
    </fill>
    <fill>
      <patternFill patternType="solid">
        <fgColor rgb="00E8F5E9"/>
        <bgColor rgb="00E8F5E9"/>
      </patternFill>
    </fill>
    <fill>
      <patternFill patternType="solid">
        <fgColor rgb="00FFF3E0"/>
        <bgColor rgb="00FFF3E0"/>
      </patternFill>
    </fill>
  </fills>
  <borders count="6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medium">
        <color rgb="000F5A47"/>
      </top>
      <bottom style="medium">
        <color rgb="000F5A47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top style="thin">
        <color rgb="00E0E0E0"/>
      </top>
      <bottom style="thin">
        <color rgb="00E0E0E0"/>
      </bottom>
    </border>
    <border>
      <top style="thin">
        <color rgb="00E0E0E0"/>
      </top>
      <bottom style="medium">
        <color rgb="000F5A47"/>
      </bottom>
    </border>
    <border>
      <top style="thin">
        <color rgb="00E0E0E0"/>
      </top>
      <bottom style="double">
        <color rgb="000F5A47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2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right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4" fontId="6" fillId="0" borderId="2" applyAlignment="1" pivotButton="0" quotePrefix="0" xfId="0">
      <alignment horizontal="right" vertical="center"/>
    </xf>
    <xf numFmtId="0" fontId="6" fillId="3" borderId="2" applyAlignment="1" pivotButton="0" quotePrefix="0" xfId="0">
      <alignment horizontal="left" vertical="center"/>
    </xf>
    <xf numFmtId="0" fontId="6" fillId="3" borderId="2" applyAlignment="1" pivotButton="0" quotePrefix="0" xfId="0">
      <alignment horizontal="center" vertical="center"/>
    </xf>
    <xf numFmtId="4" fontId="6" fillId="3" borderId="2" applyAlignment="1" pivotButton="0" quotePrefix="0" xfId="0">
      <alignment horizontal="right" vertical="center"/>
    </xf>
    <xf numFmtId="0" fontId="3" fillId="0" borderId="3" applyAlignment="1" pivotButton="0" quotePrefix="0" xfId="0">
      <alignment horizontal="right" vertical="center"/>
    </xf>
    <xf numFmtId="4" fontId="3" fillId="0" borderId="3" applyAlignment="1" pivotButton="0" quotePrefix="0" xfId="0">
      <alignment horizontal="right" vertical="center"/>
    </xf>
    <xf numFmtId="164" fontId="3" fillId="4" borderId="0" applyAlignment="1" pivotButton="0" quotePrefix="0" xfId="0">
      <alignment horizontal="right" vertical="center"/>
    </xf>
    <xf numFmtId="0" fontId="7" fillId="0" borderId="0" pivotButton="0" quotePrefix="0" xfId="0"/>
    <xf numFmtId="164" fontId="8" fillId="4" borderId="4" applyAlignment="1" pivotButton="0" quotePrefix="0" xfId="0">
      <alignment horizontal="right" vertical="center"/>
    </xf>
    <xf numFmtId="0" fontId="9" fillId="0" borderId="0" pivotButton="0" quotePrefix="0" xfId="0"/>
    <xf numFmtId="9" fontId="3" fillId="5" borderId="0" applyAlignment="1" pivotButton="0" quotePrefix="0" xfId="0">
      <alignment horizontal="center" vertical="center"/>
    </xf>
    <xf numFmtId="164" fontId="10" fillId="5" borderId="5" applyAlignment="1" pivotButton="0" quotePrefix="0" xfId="0">
      <alignment horizontal="right" vertical="center"/>
    </xf>
    <xf numFmtId="0" fontId="6" fillId="0" borderId="0" pivotButton="0" quotePrefix="0" xfId="0"/>
    <xf numFmtId="164" fontId="3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25" customWidth="1" min="4" max="4"/>
    <col width="25" customWidth="1" min="5" max="5"/>
  </cols>
  <sheetData>
    <row r="1">
      <c r="A1" s="1" t="inlineStr">
        <is>
          <t>KALKULATOR KOS MAKANAN &amp; PENENTUAN HARGA</t>
        </is>
      </c>
    </row>
    <row r="2">
      <c r="A2" s="2" t="inlineStr">
        <is>
          <t>Menu Contoh: Karipap Pusar Kentang Ayam  |  Kiraan Dinamik Automatik</t>
        </is>
      </c>
    </row>
    <row r="3"/>
    <row r="4">
      <c r="A4" s="3" t="inlineStr">
        <is>
          <t>Anggaran Hasil Satu Batch (Biji/Pax):</t>
        </is>
      </c>
      <c r="C4" s="4" t="n">
        <v>100</v>
      </c>
    </row>
    <row r="5"/>
    <row r="6">
      <c r="A6" s="5" t="inlineStr">
        <is>
          <t>1. KOS BAHAN MENTAH (RAW MATERIALS)</t>
        </is>
      </c>
    </row>
    <row r="7">
      <c r="A7" s="6" t="inlineStr">
        <is>
          <t>BAHAN MENTAH</t>
        </is>
      </c>
      <c r="B7" s="7" t="inlineStr">
        <is>
          <t>KUANTITI DIGUNAKAN</t>
        </is>
      </c>
      <c r="C7" s="7" t="inlineStr">
        <is>
          <t>UNIT</t>
        </is>
      </c>
      <c r="D7" s="8" t="inlineStr">
        <is>
          <t>KOS SEUNIT BORONG (RM)</t>
        </is>
      </c>
      <c r="E7" s="8" t="inlineStr">
        <is>
          <t>JUMLAH KOS BATCH (RM)</t>
        </is>
      </c>
    </row>
    <row r="8">
      <c r="A8" s="9" t="inlineStr">
        <is>
          <t>Tepung Gandum</t>
        </is>
      </c>
      <c r="B8" s="10" t="n">
        <v>2</v>
      </c>
      <c r="C8" s="10" t="inlineStr">
        <is>
          <t>kg</t>
        </is>
      </c>
      <c r="D8" s="11" t="n">
        <v>3.2</v>
      </c>
      <c r="E8" s="11">
        <f>B8*D8</f>
        <v/>
      </c>
    </row>
    <row r="9">
      <c r="A9" s="12" t="inlineStr">
        <is>
          <t>Minyak Masak / Mentega</t>
        </is>
      </c>
      <c r="B9" s="13" t="n">
        <v>0.5</v>
      </c>
      <c r="C9" s="13" t="inlineStr">
        <is>
          <t>kg</t>
        </is>
      </c>
      <c r="D9" s="14" t="n">
        <v>7</v>
      </c>
      <c r="E9" s="14">
        <f>B9*D9</f>
        <v/>
      </c>
    </row>
    <row r="10">
      <c r="A10" s="9" t="inlineStr">
        <is>
          <t>Ubi Kentang</t>
        </is>
      </c>
      <c r="B10" s="10" t="n">
        <v>3</v>
      </c>
      <c r="C10" s="10" t="inlineStr">
        <is>
          <t>kg</t>
        </is>
      </c>
      <c r="D10" s="11" t="n">
        <v>4</v>
      </c>
      <c r="E10" s="11">
        <f>B10*D10</f>
        <v/>
      </c>
    </row>
    <row r="11">
      <c r="A11" s="12" t="inlineStr">
        <is>
          <t>Isi Ayam</t>
        </is>
      </c>
      <c r="B11" s="13" t="n">
        <v>1</v>
      </c>
      <c r="C11" s="13" t="inlineStr">
        <is>
          <t>kg</t>
        </is>
      </c>
      <c r="D11" s="14" t="n">
        <v>13</v>
      </c>
      <c r="E11" s="14">
        <f>B11*D11</f>
        <v/>
      </c>
    </row>
    <row r="12">
      <c r="A12" s="9" t="inlineStr">
        <is>
          <t>Rempah Kari &amp; Bawang</t>
        </is>
      </c>
      <c r="B12" s="10" t="n">
        <v>1</v>
      </c>
      <c r="C12" s="10" t="inlineStr">
        <is>
          <t>Paket</t>
        </is>
      </c>
      <c r="D12" s="11" t="n">
        <v>5</v>
      </c>
      <c r="E12" s="11">
        <f>B12*D12</f>
        <v/>
      </c>
    </row>
    <row r="13">
      <c r="A13" s="12" t="inlineStr">
        <is>
          <t>Garam, Gula &amp; Perasa</t>
        </is>
      </c>
      <c r="B13" s="13" t="n">
        <v>1</v>
      </c>
      <c r="C13" s="13" t="inlineStr">
        <is>
          <t>Set</t>
        </is>
      </c>
      <c r="D13" s="14" t="n">
        <v>1.5</v>
      </c>
      <c r="E13" s="14">
        <f>B13*D13</f>
        <v/>
      </c>
    </row>
    <row r="14">
      <c r="D14" s="15" t="inlineStr">
        <is>
          <t>JUMLAH KOS BAHAN MENTAH:</t>
        </is>
      </c>
      <c r="E14" s="16">
        <f>SUM(E8:E13)</f>
        <v/>
      </c>
    </row>
    <row r="15"/>
    <row r="16">
      <c r="A16" s="5" t="inlineStr">
        <is>
          <t>2. KOS OPERASI, UTILITI &amp; UPAH LANGSUNG</t>
        </is>
      </c>
    </row>
    <row r="17">
      <c r="A17" s="6" t="inlineStr">
        <is>
          <t>KOS OPERASI &amp; OVERHEAD</t>
        </is>
      </c>
      <c r="B17" s="7" t="inlineStr">
        <is>
          <t>ANGGARAN / KADAR</t>
        </is>
      </c>
      <c r="C17" s="7" t="inlineStr">
        <is>
          <t>JENIS UTALITI</t>
        </is>
      </c>
      <c r="D17" s="6" t="inlineStr">
        <is>
          <t>KIRAAN / CATATAN</t>
        </is>
      </c>
      <c r="E17" s="8" t="inlineStr">
        <is>
          <t>JUMLAH KOS BATCH (RM)</t>
        </is>
      </c>
    </row>
    <row r="18">
      <c r="A18" s="9" t="inlineStr">
        <is>
          <t>Gas Memasak &amp; Elektrik</t>
        </is>
      </c>
      <c r="B18" s="10" t="n">
        <v>1.5</v>
      </c>
      <c r="C18" s="10" t="inlineStr">
        <is>
          <t>Batch</t>
        </is>
      </c>
      <c r="D18" s="9" t="inlineStr">
        <is>
          <t>Anggaran penggunaan per batch</t>
        </is>
      </c>
      <c r="E18" s="11" t="n">
        <v>1.5</v>
      </c>
    </row>
    <row r="19">
      <c r="A19" s="12" t="inlineStr">
        <is>
          <t>Minyak Menggoreng (Susut nilai)</t>
        </is>
      </c>
      <c r="B19" s="13" t="n">
        <v>2.5</v>
      </c>
      <c r="C19" s="13" t="inlineStr">
        <is>
          <t>Liter</t>
        </is>
      </c>
      <c r="D19" s="12" t="inlineStr">
        <is>
          <t>Minyak diganti berkala</t>
        </is>
      </c>
      <c r="E19" s="14" t="n">
        <v>2.5</v>
      </c>
    </row>
    <row r="20">
      <c r="A20" s="9" t="inlineStr">
        <is>
          <t>Kos Pembungkusan (Plastik/Kotak)</t>
        </is>
      </c>
      <c r="B20" s="10" t="n">
        <v>0.05</v>
      </c>
      <c r="C20" s="10" t="inlineStr">
        <is>
          <t>Seunit</t>
        </is>
      </c>
      <c r="D20" s="9" t="inlineStr">
        <is>
          <t>RM0.05 x 100 biji</t>
        </is>
      </c>
      <c r="E20" s="11">
        <f>0.05*C4</f>
        <v/>
      </c>
    </row>
    <row r="21">
      <c r="A21" s="12" t="inlineStr">
        <is>
          <t>Upah Pekerja Pembuat</t>
        </is>
      </c>
      <c r="B21" s="13" t="n">
        <v>12</v>
      </c>
      <c r="C21" s="13" t="inlineStr">
        <is>
          <t>Jam</t>
        </is>
      </c>
      <c r="D21" s="12" t="inlineStr">
        <is>
          <t>1 jam memotong &amp; menggentel</t>
        </is>
      </c>
      <c r="E21" s="14" t="n">
        <v>12</v>
      </c>
    </row>
    <row r="22">
      <c r="D22" s="15" t="inlineStr">
        <is>
          <t>JUMLAH KOS OPERASI &amp; UPAH:</t>
        </is>
      </c>
      <c r="E22" s="16">
        <f>SUM(E18:E21)</f>
        <v/>
      </c>
    </row>
    <row r="23"/>
    <row r="24">
      <c r="A24" s="5" t="inlineStr">
        <is>
          <t>3. RUMUSAN KOS SEUNIT &amp; STRATEGI PENENTUAN HARGA JUALAN</t>
        </is>
      </c>
    </row>
    <row r="25">
      <c r="A25" s="3" t="inlineStr">
        <is>
          <t>TOTAL KOS KESELURUHAN SATU BATCH (Bahan + Operasi):</t>
        </is>
      </c>
      <c r="E25" s="17">
        <f>E14+E22</f>
        <v/>
      </c>
    </row>
    <row r="26">
      <c r="A26" s="18" t="inlineStr">
        <is>
          <t>KOS SEBENAR SEBIJI KARIPAP (Total Kos / Hasil Batch):</t>
        </is>
      </c>
      <c r="E26" s="19">
        <f>E25/C4</f>
        <v/>
      </c>
    </row>
    <row r="27"/>
    <row r="28">
      <c r="A28" s="20" t="inlineStr">
        <is>
          <t>Sila tentukan peratusan Margin Keuntungan Kasar yang dikehendaki (Standard Industri F&amp;B: 60% - 70%):</t>
        </is>
      </c>
    </row>
    <row r="29">
      <c r="A29" s="3" t="inlineStr">
        <is>
          <t>Sasaran Margin Keuntungan Kasar (%):</t>
        </is>
      </c>
      <c r="C29" s="21" t="n">
        <v>0.65</v>
      </c>
    </row>
    <row r="30"/>
    <row r="31">
      <c r="A31" s="3" t="inlineStr">
        <is>
          <t>CADANGAN HARGA JUALAN SEBIJI (Formula: Kos Seunit / (1 - Margin%)):</t>
        </is>
      </c>
      <c r="E31" s="22">
        <f>E26/(1-C29)</f>
        <v/>
      </c>
    </row>
    <row r="32">
      <c r="A32" s="23" t="inlineStr">
        <is>
          <t>ANGGARAN UNTUNG BERSIH SEBIJI:</t>
        </is>
      </c>
      <c r="E32" s="24">
        <f>E31-E26</f>
        <v/>
      </c>
    </row>
    <row r="33"/>
    <row r="34">
      <c r="A34" s="3" t="inlineStr">
        <is>
          <t>NOTA EDUKASI USHAWAN:</t>
        </is>
      </c>
    </row>
    <row r="35">
      <c r="A35" s="20" t="inlineStr">
        <is>
          <t>1. [Kos Bahan Mentah] Sebaiknya tidak melebihi 30% - 35% daripada harga jualan untuk menjamin kelangsungan bisnes.</t>
        </is>
      </c>
    </row>
    <row r="36">
      <c r="A36" s="20" t="inlineStr">
        <is>
          <t>2. [Kos Gas &amp; Minyak] Dimasukkan ke dalam kompilasi overhead batch agar margin keuntungan sebenar tidak tiris.</t>
        </is>
      </c>
    </row>
    <row r="37">
      <c r="A37" s="20" t="inlineStr">
        <is>
          <t>3. [Upah Pekerja] Dikira berdasarkan berapa lama waktu yang diambil untuk menyelesaikan satu batch penuh.</t>
        </is>
      </c>
    </row>
    <row r="38">
      <c r="A38" s="20" t="inlineStr">
        <is>
          <t>4. Sila tukar kuantiti bahan, harga borong, dan anggaran hasil batch (Petak C4) mengikut resipi kedai anda sendiri.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2026-07-02T19:25:52Z</dcterms:created>
  <dcterms:modified xmlns:dcterms="http://purl.org/dc/terms/" xmlns:xsi="http://www.w3.org/2001/XMLSchema-instance" xsi:type="dcterms:W3CDTF">2026-07-02T19:25:52Z</dcterms:modified>
</cp:coreProperties>
</file>